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/>
  <bookViews>
    <workbookView xWindow="0" yWindow="0" windowWidth="23040" windowHeight="9384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3" i="1" l="1"/>
  <c r="F13" i="1"/>
  <c r="C4" i="1"/>
  <c r="C5" i="1" s="1"/>
  <c r="P15" i="1" l="1"/>
  <c r="I15" i="1"/>
  <c r="Q15" i="1"/>
  <c r="Y15" i="1"/>
  <c r="AG15" i="1"/>
  <c r="S15" i="1"/>
  <c r="AI15" i="1"/>
  <c r="AD15" i="1"/>
  <c r="J15" i="1"/>
  <c r="R15" i="1"/>
  <c r="Z15" i="1"/>
  <c r="AH15" i="1"/>
  <c r="K15" i="1"/>
  <c r="AA15" i="1"/>
  <c r="L15" i="1"/>
  <c r="T15" i="1"/>
  <c r="AB15" i="1"/>
  <c r="M15" i="1"/>
  <c r="U15" i="1"/>
  <c r="AC15" i="1"/>
  <c r="V15" i="1"/>
  <c r="N15" i="1"/>
  <c r="O15" i="1"/>
  <c r="W15" i="1"/>
  <c r="AE15" i="1"/>
  <c r="H15" i="1"/>
  <c r="X15" i="1"/>
  <c r="AF15" i="1"/>
  <c r="G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<sst xmlns="http://schemas.openxmlformats.org/spreadsheetml/2006/main" count="12" uniqueCount="11">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</sst>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86309947815068"/>
          <c:y val="5.2975721738285478E-2"/>
          <c:w val="0.80516718240073615"/>
          <c:h val="0.86853430485068139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D0D-4274-9125-24E22B72D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032368"/>
        <c:axId val="251033152"/>
      </c:scatterChart>
      <c:valAx>
        <c:axId val="25103236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033152"/>
        <c:crosses val="autoZero"/>
        <c:crossBetween val="midCat"/>
      </c:valAx>
      <c:valAx>
        <c:axId val="251033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032368"/>
        <c:crosses val="autoZero"/>
        <c:crossBetween val="midCat"/>
      </c:valAx>
      <c:spPr>
        <a:solidFill>
          <a:sysClr val="window" lastClr="FFFFFF"/>
        </a:solidFill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405848</xdr:colOff>
      <xdr:row>17</xdr:row>
      <xdr:rowOff>142736</xdr:rowOff>
    </xdr:from>
    <xdr:to>
      <xdr:col>23</xdr:col>
      <xdr:colOff>430695</xdr:colOff>
      <xdr:row>41</xdr:row>
      <xdr:rowOff>71782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64603</xdr:colOff>
      <xdr:row>18</xdr:row>
      <xdr:rowOff>24572</xdr:rowOff>
    </xdr:from>
    <xdr:ext cx="471005" cy="339864"/>
    <xdr:sp macro="" textlink="">
      <xdr:nvSpPr>
        <xdr:cNvPr id="3" name="TextBox 2"/>
        <xdr:cNvSpPr txBox="1"/>
      </xdr:nvSpPr>
      <xdr:spPr>
        <a:xfrm>
          <a:off x="7518951" y="3403876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22</xdr:col>
      <xdr:colOff>310321</xdr:colOff>
      <xdr:row>39</xdr:row>
      <xdr:rowOff>154609</xdr:rowOff>
    </xdr:from>
    <xdr:ext cx="705679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11651973" y="7487479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11651973" y="7487479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𝑳,[𝑪]</a:t>
              </a:r>
              <a:endParaRPr lang="ru-RU" sz="1200" b="1" i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29"/>
  <sheetViews>
    <sheetView tabSelected="1" zoomScale="69" zoomScaleNormal="69" workbookViewId="0">
      <selection activeCell="R16" sqref="R16"/>
    </sheetView>
  </sheetViews>
  <sheetFormatPr defaultRowHeight="14.4" x14ac:dyDescent="0.3"/>
  <cols>
    <col min="3" max="3" width="9.5546875" bestFit="1" customWidth="1"/>
    <col min="6" max="10" width="7.109375" bestFit="1" customWidth="1"/>
    <col min="11" max="11" width="7.109375" customWidth="1"/>
    <col min="12" max="36" width="7.10937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4">
        <f>C3/30</f>
        <v>3.3333333333333335E-3</v>
      </c>
    </row>
    <row r="5" spans="2:36" x14ac:dyDescent="0.3">
      <c r="B5" s="2" t="s">
        <v>2</v>
      </c>
      <c r="C5" s="4">
        <f>(C9*C8*C4^2)/(2*C10)</f>
        <v>0.4333333333333334</v>
      </c>
    </row>
    <row r="6" spans="2:36" x14ac:dyDescent="0.3">
      <c r="B6" s="2" t="s">
        <v>3</v>
      </c>
      <c r="C6" s="2">
        <v>500</v>
      </c>
      <c r="D6">
        <v>500.06666666666672</v>
      </c>
    </row>
    <row r="7" spans="2:36" x14ac:dyDescent="0.3">
      <c r="B7" s="6"/>
      <c r="C7" s="6"/>
    </row>
    <row r="8" spans="2:36" x14ac:dyDescent="0.3">
      <c r="B8" s="2" t="s">
        <v>4</v>
      </c>
      <c r="C8" s="2">
        <v>460</v>
      </c>
    </row>
    <row r="9" spans="2:36" x14ac:dyDescent="0.3">
      <c r="B9" s="5" t="s">
        <v>5</v>
      </c>
      <c r="C9" s="5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6"/>
      <c r="C11" s="6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9</v>
      </c>
      <c r="C13" s="2">
        <v>100</v>
      </c>
      <c r="E13" t="s">
        <v>7</v>
      </c>
      <c r="F13" s="1">
        <f>C12</f>
        <v>300</v>
      </c>
      <c r="G13" s="1">
        <v>293.32310708172031</v>
      </c>
      <c r="H13" s="1">
        <v>286.64621416344067</v>
      </c>
      <c r="I13" s="1">
        <v>279.96976818142753</v>
      </c>
      <c r="J13" s="1">
        <v>273.29332219941438</v>
      </c>
      <c r="K13" s="1">
        <v>266.61775055667476</v>
      </c>
      <c r="L13" s="1">
        <v>259.94217891393515</v>
      </c>
      <c r="M13" s="1">
        <v>253.26787080065432</v>
      </c>
      <c r="N13" s="1">
        <v>246.59356268737349</v>
      </c>
      <c r="O13" s="1">
        <v>239.9208520714362</v>
      </c>
      <c r="P13" s="1">
        <v>233.24814145549891</v>
      </c>
      <c r="Q13" s="1">
        <v>226.57729248649036</v>
      </c>
      <c r="R13" s="1">
        <v>219.90644351748179</v>
      </c>
      <c r="S13" s="1">
        <v>213.23763898208321</v>
      </c>
      <c r="T13" s="1">
        <v>206.56883444668463</v>
      </c>
      <c r="U13" s="1">
        <v>199.9021677800182</v>
      </c>
      <c r="V13" s="1">
        <v>193.2355011133518</v>
      </c>
      <c r="W13" s="1">
        <v>186.57097231541749</v>
      </c>
      <c r="X13" s="1">
        <v>179.90644351748318</v>
      </c>
      <c r="Y13" s="1">
        <v>173.24395915315873</v>
      </c>
      <c r="Z13" s="1">
        <v>166.58147478883427</v>
      </c>
      <c r="AA13" s="1">
        <v>159.92085207143839</v>
      </c>
      <c r="AB13" s="1">
        <v>153.26022935404251</v>
      </c>
      <c r="AC13" s="1">
        <v>146.60120413398997</v>
      </c>
      <c r="AD13" s="1">
        <v>139.94217891393743</v>
      </c>
      <c r="AE13" s="1">
        <v>133.28441722334344</v>
      </c>
      <c r="AF13" s="1">
        <v>126.62665553274945</v>
      </c>
      <c r="AG13" s="1">
        <v>119.96976818142888</v>
      </c>
      <c r="AH13" s="1">
        <v>113.3128808301083</v>
      </c>
      <c r="AI13" s="1">
        <v>106.65644041505415</v>
      </c>
      <c r="AJ13" s="1">
        <f>C13</f>
        <v>100</v>
      </c>
    </row>
    <row r="15" spans="2:36" x14ac:dyDescent="0.3">
      <c r="E15" t="s">
        <v>10</v>
      </c>
      <c r="G15">
        <f>G13+(($C$10*$C$5)/($C$9*$C$8))*((H13-2*G13+F13)/($C$4^2))</f>
        <v>293.32310708172031</v>
      </c>
      <c r="H15">
        <f t="shared" ref="H15:AI15" si="1">H13+(($C$10*$C$5)/($C$9*$C$8))*((I13-2*H13+G13)/($C$4^2))</f>
        <v>286.64643763157392</v>
      </c>
      <c r="I15">
        <f t="shared" si="1"/>
        <v>279.96976818142753</v>
      </c>
      <c r="J15">
        <f t="shared" si="1"/>
        <v>273.29375936905114</v>
      </c>
      <c r="K15">
        <f t="shared" si="1"/>
        <v>266.61775055667476</v>
      </c>
      <c r="L15">
        <f t="shared" si="1"/>
        <v>259.94281067866456</v>
      </c>
      <c r="M15">
        <f t="shared" si="1"/>
        <v>253.26787080065432</v>
      </c>
      <c r="N15">
        <f t="shared" si="1"/>
        <v>246.59436143604526</v>
      </c>
      <c r="O15">
        <f t="shared" si="1"/>
        <v>239.9208520714362</v>
      </c>
      <c r="P15">
        <f t="shared" si="1"/>
        <v>233.2490722789633</v>
      </c>
      <c r="Q15">
        <f t="shared" si="1"/>
        <v>226.57729248649036</v>
      </c>
      <c r="R15">
        <f t="shared" si="1"/>
        <v>219.9074657342868</v>
      </c>
      <c r="S15">
        <f t="shared" si="1"/>
        <v>213.23763898208321</v>
      </c>
      <c r="T15">
        <f t="shared" si="1"/>
        <v>206.56990338105072</v>
      </c>
      <c r="U15">
        <f t="shared" si="1"/>
        <v>199.9021677800182</v>
      </c>
      <c r="V15">
        <f t="shared" si="1"/>
        <v>193.23657004771786</v>
      </c>
      <c r="W15">
        <f t="shared" si="1"/>
        <v>186.57097231541749</v>
      </c>
      <c r="X15">
        <f t="shared" si="1"/>
        <v>179.90746573428811</v>
      </c>
      <c r="Y15">
        <f t="shared" si="1"/>
        <v>173.24395915315873</v>
      </c>
      <c r="Z15">
        <f t="shared" si="1"/>
        <v>166.58240561229854</v>
      </c>
      <c r="AA15">
        <f t="shared" si="1"/>
        <v>159.92085207143839</v>
      </c>
      <c r="AB15">
        <f t="shared" si="1"/>
        <v>153.26102810271419</v>
      </c>
      <c r="AC15">
        <f t="shared" si="1"/>
        <v>146.60120413398997</v>
      </c>
      <c r="AD15">
        <f t="shared" si="1"/>
        <v>139.94281067866672</v>
      </c>
      <c r="AE15">
        <f t="shared" si="1"/>
        <v>133.28441722334344</v>
      </c>
      <c r="AF15">
        <f t="shared" si="1"/>
        <v>126.62709270238616</v>
      </c>
      <c r="AG15">
        <f t="shared" si="1"/>
        <v>119.96976818142888</v>
      </c>
      <c r="AH15">
        <f t="shared" si="1"/>
        <v>113.31310429824151</v>
      </c>
      <c r="AI15">
        <f t="shared" si="1"/>
        <v>106.65644041505415</v>
      </c>
    </row>
    <row r="29" spans="21:21" ht="15.6" x14ac:dyDescent="0.3">
      <c r="U29" s="7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2021-10-11T08:36:04Z</dcterms:modified>
</cp:coreProperties>
</file>